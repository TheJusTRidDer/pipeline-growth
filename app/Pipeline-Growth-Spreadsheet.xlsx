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racker" sheetId="1" state="visible" r:id="rId1"/>
    <sheet xmlns:r="http://schemas.openxmlformats.org/officeDocument/2006/relationships" name="Pipeline Summary" sheetId="2" state="visible" r:id="rId2"/>
    <sheet xmlns:r="http://schemas.openxmlformats.org/officeDocument/2006/relationships" name="Email Sequences" sheetId="3" state="visible" r:id="rId3"/>
    <sheet xmlns:r="http://schemas.openxmlformats.org/officeDocument/2006/relationships" name="Weekly Targets" sheetId="4" state="visible" r:id="rId4"/>
    <sheet xmlns:r="http://schemas.openxmlformats.org/officeDocument/2006/relationships" name="Monthly Reven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_);($#,##0)"/>
    <numFmt numFmtId="165" formatCode="0.0"/>
  </numFmts>
  <fonts count="22">
    <font>
      <name val="Calibri"/>
      <family val="2"/>
      <color theme="1"/>
      <sz val="11"/>
      <scheme val="minor"/>
    </font>
    <font>
      <name val="Inter"/>
      <b val="1"/>
      <color rgb="001a1a2e"/>
      <sz val="16"/>
    </font>
    <font>
      <name val="Inter"/>
      <i val="1"/>
      <color rgb="008a8aaa"/>
      <sz val="9"/>
    </font>
    <font>
      <name val="Inter"/>
      <b val="1"/>
      <color rgb="00ffffff"/>
      <sz val="11"/>
    </font>
    <font>
      <name val="Inter"/>
      <color rgb="001a1a2e"/>
      <sz val="10"/>
    </font>
    <font>
      <name val="Inter"/>
      <b val="1"/>
      <color rgb="002563eb"/>
      <sz val="12"/>
    </font>
    <font>
      <name val="Inter"/>
      <b val="1"/>
      <color rgb="001a1a2e"/>
      <sz val="10"/>
    </font>
    <font>
      <name val="Inter"/>
      <b val="1"/>
      <color rgb="002563eb"/>
      <sz val="14"/>
    </font>
    <font>
      <name val="Inter"/>
      <b val="1"/>
      <color rgb="00f59e0b"/>
      <sz val="14"/>
    </font>
    <font>
      <name val="Inter"/>
      <b val="1"/>
      <color rgb="0022c55e"/>
      <sz val="14"/>
    </font>
    <font>
      <name val="Inter"/>
      <b val="1"/>
      <color rgb="00ef4444"/>
      <sz val="14"/>
    </font>
    <font>
      <name val="Inter"/>
      <b val="1"/>
      <color rgb="008b5cf6"/>
      <sz val="14"/>
    </font>
    <font>
      <name val="Inter"/>
      <b val="1"/>
      <color rgb="000369a1"/>
      <sz val="10"/>
    </font>
    <font>
      <name val="Inter"/>
      <b val="1"/>
      <color rgb="00b45309"/>
      <sz val="10"/>
    </font>
    <font>
      <name val="Inter"/>
      <b val="1"/>
      <color rgb="006d28d9"/>
      <sz val="10"/>
    </font>
    <font>
      <name val="Inter"/>
      <b val="1"/>
      <color rgb="00be185d"/>
      <sz val="10"/>
    </font>
    <font>
      <name val="Inter"/>
      <b val="1"/>
      <color rgb="0015803d"/>
      <sz val="10"/>
    </font>
    <font>
      <name val="Inter"/>
      <b val="1"/>
      <color rgb="00991b1b"/>
      <sz val="10"/>
    </font>
    <font>
      <name val="Inter"/>
      <b val="1"/>
      <color rgb="007e22ce"/>
      <sz val="10"/>
    </font>
    <font>
      <name val="Inter"/>
      <b val="1"/>
      <sz val="10"/>
    </font>
    <font>
      <name val="Inter"/>
      <b val="1"/>
      <color rgb="002563eb"/>
      <sz val="10"/>
    </font>
    <font>
      <name val="Inter"/>
      <b val="1"/>
      <color rgb="008b5cf6"/>
      <sz val="10"/>
    </font>
  </fonts>
  <fills count="10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0f2fe"/>
        <bgColor rgb="00e0f2fe"/>
      </patternFill>
    </fill>
    <fill>
      <patternFill patternType="solid">
        <fgColor rgb="00fef3c7"/>
        <bgColor rgb="00fef3c7"/>
      </patternFill>
    </fill>
    <fill>
      <patternFill patternType="solid">
        <fgColor rgb="00ede9fe"/>
        <bgColor rgb="00ede9fe"/>
      </patternFill>
    </fill>
    <fill>
      <patternFill patternType="solid">
        <fgColor rgb="00fce7f3"/>
        <bgColor rgb="00fce7f3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3e8ff"/>
        <bgColor rgb="00f3e8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5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17" fillId="8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19" fillId="0" borderId="1" applyAlignment="1" pivotButton="0" quotePrefix="0" xfId="0">
      <alignment horizontal="center" vertical="center" wrapText="1"/>
    </xf>
    <xf numFmtId="164" fontId="19" fillId="0" borderId="1" applyAlignment="1" pivotButton="0" quotePrefix="0" xfId="0">
      <alignment horizontal="center" vertical="center" wrapText="1"/>
    </xf>
    <xf numFmtId="165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165" fontId="2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Q5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8" customWidth="1" min="4" max="4"/>
    <col width="28" customWidth="1" min="5" max="5"/>
    <col width="28" customWidth="1" min="6" max="6"/>
    <col width="18" customWidth="1" min="7" max="7"/>
    <col width="10" customWidth="1" min="8" max="8"/>
    <col width="12" customWidth="1" min="9" max="9"/>
    <col width="16" customWidth="1" min="10" max="10"/>
    <col width="12" customWidth="1" min="11" max="11"/>
    <col width="16" customWidth="1" min="12" max="12"/>
    <col width="14" customWidth="1" min="13" max="13"/>
    <col width="12" customWidth="1" min="14" max="14"/>
    <col width="12" customWidth="1" min="15" max="15"/>
    <col width="14" customWidth="1" min="16" max="16"/>
    <col width="30" customWidth="1" min="17" max="17"/>
  </cols>
  <sheetData>
    <row r="1" ht="36" customHeight="1">
      <c r="A1" s="1" t="inlineStr">
        <is>
          <t>Pipeline Growth — Lead Tracker</t>
        </is>
      </c>
    </row>
    <row r="2" ht="20" customHeight="1">
      <c r="A2" s="2" t="inlineStr">
        <is>
          <t>Copy data from the CRM app or enter manually. Priority Score 1-10. Stages match the pipeline.</t>
        </is>
      </c>
    </row>
    <row r="4" ht="28" customHeight="1">
      <c r="A4" s="3" t="inlineStr">
        <is>
          <t>Company</t>
        </is>
      </c>
      <c r="B4" s="3" t="inlineStr">
        <is>
          <t>Website</t>
        </is>
      </c>
      <c r="C4" s="3" t="inlineStr">
        <is>
          <t>Contact Name</t>
        </is>
      </c>
      <c r="D4" s="3" t="inlineStr">
        <is>
          <t>Title</t>
        </is>
      </c>
      <c r="E4" s="3" t="inlineStr">
        <is>
          <t>Email</t>
        </is>
      </c>
      <c r="F4" s="3" t="inlineStr">
        <is>
          <t>LinkedIn</t>
        </is>
      </c>
      <c r="G4" s="3" t="inlineStr">
        <is>
          <t>Industry</t>
        </is>
      </c>
      <c r="H4" s="3" t="inlineStr">
        <is>
          <t>Employees</t>
        </is>
      </c>
      <c r="I4" s="3" t="inlineStr">
        <is>
          <t>Revenue</t>
        </is>
      </c>
      <c r="J4" s="3" t="inlineStr">
        <is>
          <t>Location</t>
        </is>
      </c>
      <c r="K4" s="3" t="inlineStr">
        <is>
          <t>Priority Score</t>
        </is>
      </c>
      <c r="L4" s="3" t="inlineStr">
        <is>
          <t>Stage</t>
        </is>
      </c>
      <c r="M4" s="3" t="inlineStr">
        <is>
          <t>Pipeline Value ($)</t>
        </is>
      </c>
      <c r="N4" s="3" t="inlineStr">
        <is>
          <t>Lead Source</t>
        </is>
      </c>
      <c r="O4" s="3" t="inlineStr">
        <is>
          <t>Email Step</t>
        </is>
      </c>
      <c r="P4" s="3" t="inlineStr">
        <is>
          <t>Created Date</t>
        </is>
      </c>
      <c r="Q4" s="3" t="inlineStr">
        <is>
          <t>Notes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>
        <v>5</v>
      </c>
      <c r="L5" s="4" t="inlineStr">
        <is>
          <t>Prospect</t>
        </is>
      </c>
      <c r="M5" s="4" t="n"/>
      <c r="N5" s="4" t="n"/>
      <c r="O5" s="4" t="n"/>
      <c r="P5" s="4" t="n"/>
      <c r="Q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>
        <v>5</v>
      </c>
      <c r="L6" s="4" t="inlineStr">
        <is>
          <t>Prospect</t>
        </is>
      </c>
      <c r="M6" s="4" t="n"/>
      <c r="N6" s="4" t="n"/>
      <c r="O6" s="4" t="n"/>
      <c r="P6" s="4" t="n"/>
      <c r="Q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>
        <v>5</v>
      </c>
      <c r="L7" s="4" t="inlineStr">
        <is>
          <t>Prospect</t>
        </is>
      </c>
      <c r="M7" s="4" t="n"/>
      <c r="N7" s="4" t="n"/>
      <c r="O7" s="4" t="n"/>
      <c r="P7" s="4" t="n"/>
      <c r="Q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>
        <v>5</v>
      </c>
      <c r="L8" s="4" t="inlineStr">
        <is>
          <t>Prospect</t>
        </is>
      </c>
      <c r="M8" s="4" t="n"/>
      <c r="N8" s="4" t="n"/>
      <c r="O8" s="4" t="n"/>
      <c r="P8" s="4" t="n"/>
      <c r="Q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>
        <v>5</v>
      </c>
      <c r="L9" s="4" t="inlineStr">
        <is>
          <t>Prospect</t>
        </is>
      </c>
      <c r="M9" s="4" t="n"/>
      <c r="N9" s="4" t="n"/>
      <c r="O9" s="4" t="n"/>
      <c r="P9" s="4" t="n"/>
      <c r="Q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>
        <v>5</v>
      </c>
      <c r="L10" s="4" t="inlineStr">
        <is>
          <t>Prospect</t>
        </is>
      </c>
      <c r="M10" s="4" t="n"/>
      <c r="N10" s="4" t="n"/>
      <c r="O10" s="4" t="n"/>
      <c r="P10" s="4" t="n"/>
      <c r="Q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>
        <v>5</v>
      </c>
      <c r="L11" s="4" t="inlineStr">
        <is>
          <t>Prospect</t>
        </is>
      </c>
      <c r="M11" s="4" t="n"/>
      <c r="N11" s="4" t="n"/>
      <c r="O11" s="4" t="n"/>
      <c r="P11" s="4" t="n"/>
      <c r="Q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>
        <v>5</v>
      </c>
      <c r="L12" s="4" t="inlineStr">
        <is>
          <t>Prospect</t>
        </is>
      </c>
      <c r="M12" s="4" t="n"/>
      <c r="N12" s="4" t="n"/>
      <c r="O12" s="4" t="n"/>
      <c r="P12" s="4" t="n"/>
      <c r="Q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>
        <v>5</v>
      </c>
      <c r="L13" s="4" t="inlineStr">
        <is>
          <t>Prospect</t>
        </is>
      </c>
      <c r="M13" s="4" t="n"/>
      <c r="N13" s="4" t="n"/>
      <c r="O13" s="4" t="n"/>
      <c r="P13" s="4" t="n"/>
      <c r="Q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>
        <v>5</v>
      </c>
      <c r="L14" s="4" t="inlineStr">
        <is>
          <t>Prospect</t>
        </is>
      </c>
      <c r="M14" s="4" t="n"/>
      <c r="N14" s="4" t="n"/>
      <c r="O14" s="4" t="n"/>
      <c r="P14" s="4" t="n"/>
      <c r="Q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>
        <v>5</v>
      </c>
      <c r="L15" s="4" t="inlineStr">
        <is>
          <t>Prospect</t>
        </is>
      </c>
      <c r="M15" s="4" t="n"/>
      <c r="N15" s="4" t="n"/>
      <c r="O15" s="4" t="n"/>
      <c r="P15" s="4" t="n"/>
      <c r="Q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5</v>
      </c>
      <c r="L16" s="4" t="inlineStr">
        <is>
          <t>Prospect</t>
        </is>
      </c>
      <c r="M16" s="4" t="n"/>
      <c r="N16" s="4" t="n"/>
      <c r="O16" s="4" t="n"/>
      <c r="P16" s="4" t="n"/>
      <c r="Q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>
        <v>5</v>
      </c>
      <c r="L17" s="4" t="inlineStr">
        <is>
          <t>Prospect</t>
        </is>
      </c>
      <c r="M17" s="4" t="n"/>
      <c r="N17" s="4" t="n"/>
      <c r="O17" s="4" t="n"/>
      <c r="P17" s="4" t="n"/>
      <c r="Q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>
        <v>5</v>
      </c>
      <c r="L18" s="4" t="inlineStr">
        <is>
          <t>Prospect</t>
        </is>
      </c>
      <c r="M18" s="4" t="n"/>
      <c r="N18" s="4" t="n"/>
      <c r="O18" s="4" t="n"/>
      <c r="P18" s="4" t="n"/>
      <c r="Q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>
        <v>5</v>
      </c>
      <c r="L19" s="4" t="inlineStr">
        <is>
          <t>Prospect</t>
        </is>
      </c>
      <c r="M19" s="4" t="n"/>
      <c r="N19" s="4" t="n"/>
      <c r="O19" s="4" t="n"/>
      <c r="P19" s="4" t="n"/>
      <c r="Q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>
        <v>5</v>
      </c>
      <c r="L20" s="4" t="inlineStr">
        <is>
          <t>Prospect</t>
        </is>
      </c>
      <c r="M20" s="4" t="n"/>
      <c r="N20" s="4" t="n"/>
      <c r="O20" s="4" t="n"/>
      <c r="P20" s="4" t="n"/>
      <c r="Q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>
        <v>5</v>
      </c>
      <c r="L21" s="4" t="inlineStr">
        <is>
          <t>Prospect</t>
        </is>
      </c>
      <c r="M21" s="4" t="n"/>
      <c r="N21" s="4" t="n"/>
      <c r="O21" s="4" t="n"/>
      <c r="P21" s="4" t="n"/>
      <c r="Q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>
        <v>5</v>
      </c>
      <c r="L22" s="4" t="inlineStr">
        <is>
          <t>Prospect</t>
        </is>
      </c>
      <c r="M22" s="4" t="n"/>
      <c r="N22" s="4" t="n"/>
      <c r="O22" s="4" t="n"/>
      <c r="P22" s="4" t="n"/>
      <c r="Q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>
        <v>5</v>
      </c>
      <c r="L23" s="4" t="inlineStr">
        <is>
          <t>Prospect</t>
        </is>
      </c>
      <c r="M23" s="4" t="n"/>
      <c r="N23" s="4" t="n"/>
      <c r="O23" s="4" t="n"/>
      <c r="P23" s="4" t="n"/>
      <c r="Q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>
        <v>5</v>
      </c>
      <c r="L24" s="4" t="inlineStr">
        <is>
          <t>Prospect</t>
        </is>
      </c>
      <c r="M24" s="4" t="n"/>
      <c r="N24" s="4" t="n"/>
      <c r="O24" s="4" t="n"/>
      <c r="P24" s="4" t="n"/>
      <c r="Q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>
        <v>5</v>
      </c>
      <c r="L25" s="4" t="inlineStr">
        <is>
          <t>Prospect</t>
        </is>
      </c>
      <c r="M25" s="4" t="n"/>
      <c r="N25" s="4" t="n"/>
      <c r="O25" s="4" t="n"/>
      <c r="P25" s="4" t="n"/>
      <c r="Q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>
        <v>5</v>
      </c>
      <c r="L26" s="4" t="inlineStr">
        <is>
          <t>Prospect</t>
        </is>
      </c>
      <c r="M26" s="4" t="n"/>
      <c r="N26" s="4" t="n"/>
      <c r="O26" s="4" t="n"/>
      <c r="P26" s="4" t="n"/>
      <c r="Q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>
        <v>5</v>
      </c>
      <c r="L27" s="4" t="inlineStr">
        <is>
          <t>Prospect</t>
        </is>
      </c>
      <c r="M27" s="4" t="n"/>
      <c r="N27" s="4" t="n"/>
      <c r="O27" s="4" t="n"/>
      <c r="P27" s="4" t="n"/>
      <c r="Q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>
        <v>5</v>
      </c>
      <c r="L28" s="4" t="inlineStr">
        <is>
          <t>Prospect</t>
        </is>
      </c>
      <c r="M28" s="4" t="n"/>
      <c r="N28" s="4" t="n"/>
      <c r="O28" s="4" t="n"/>
      <c r="P28" s="4" t="n"/>
      <c r="Q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>
        <v>5</v>
      </c>
      <c r="L29" s="4" t="inlineStr">
        <is>
          <t>Prospect</t>
        </is>
      </c>
      <c r="M29" s="4" t="n"/>
      <c r="N29" s="4" t="n"/>
      <c r="O29" s="4" t="n"/>
      <c r="P29" s="4" t="n"/>
      <c r="Q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>
        <v>5</v>
      </c>
      <c r="L30" s="4" t="inlineStr">
        <is>
          <t>Prospect</t>
        </is>
      </c>
      <c r="M30" s="4" t="n"/>
      <c r="N30" s="4" t="n"/>
      <c r="O30" s="4" t="n"/>
      <c r="P30" s="4" t="n"/>
      <c r="Q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>
        <v>5</v>
      </c>
      <c r="L31" s="4" t="inlineStr">
        <is>
          <t>Prospect</t>
        </is>
      </c>
      <c r="M31" s="4" t="n"/>
      <c r="N31" s="4" t="n"/>
      <c r="O31" s="4" t="n"/>
      <c r="P31" s="4" t="n"/>
      <c r="Q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>
        <v>5</v>
      </c>
      <c r="L32" s="4" t="inlineStr">
        <is>
          <t>Prospect</t>
        </is>
      </c>
      <c r="M32" s="4" t="n"/>
      <c r="N32" s="4" t="n"/>
      <c r="O32" s="4" t="n"/>
      <c r="P32" s="4" t="n"/>
      <c r="Q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>
        <v>5</v>
      </c>
      <c r="L33" s="4" t="inlineStr">
        <is>
          <t>Prospect</t>
        </is>
      </c>
      <c r="M33" s="4" t="n"/>
      <c r="N33" s="4" t="n"/>
      <c r="O33" s="4" t="n"/>
      <c r="P33" s="4" t="n"/>
      <c r="Q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>
        <v>5</v>
      </c>
      <c r="L34" s="4" t="inlineStr">
        <is>
          <t>Prospect</t>
        </is>
      </c>
      <c r="M34" s="4" t="n"/>
      <c r="N34" s="4" t="n"/>
      <c r="O34" s="4" t="n"/>
      <c r="P34" s="4" t="n"/>
      <c r="Q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>
        <v>5</v>
      </c>
      <c r="L35" s="4" t="inlineStr">
        <is>
          <t>Prospect</t>
        </is>
      </c>
      <c r="M35" s="4" t="n"/>
      <c r="N35" s="4" t="n"/>
      <c r="O35" s="4" t="n"/>
      <c r="P35" s="4" t="n"/>
      <c r="Q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>
        <v>5</v>
      </c>
      <c r="L36" s="4" t="inlineStr">
        <is>
          <t>Prospect</t>
        </is>
      </c>
      <c r="M36" s="4" t="n"/>
      <c r="N36" s="4" t="n"/>
      <c r="O36" s="4" t="n"/>
      <c r="P36" s="4" t="n"/>
      <c r="Q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>
        <v>5</v>
      </c>
      <c r="L37" s="4" t="inlineStr">
        <is>
          <t>Prospect</t>
        </is>
      </c>
      <c r="M37" s="4" t="n"/>
      <c r="N37" s="4" t="n"/>
      <c r="O37" s="4" t="n"/>
      <c r="P37" s="4" t="n"/>
      <c r="Q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>
        <v>5</v>
      </c>
      <c r="L38" s="4" t="inlineStr">
        <is>
          <t>Prospect</t>
        </is>
      </c>
      <c r="M38" s="4" t="n"/>
      <c r="N38" s="4" t="n"/>
      <c r="O38" s="4" t="n"/>
      <c r="P38" s="4" t="n"/>
      <c r="Q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>
        <v>5</v>
      </c>
      <c r="L39" s="4" t="inlineStr">
        <is>
          <t>Prospect</t>
        </is>
      </c>
      <c r="M39" s="4" t="n"/>
      <c r="N39" s="4" t="n"/>
      <c r="O39" s="4" t="n"/>
      <c r="P39" s="4" t="n"/>
      <c r="Q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>
        <v>5</v>
      </c>
      <c r="L40" s="4" t="inlineStr">
        <is>
          <t>Prospect</t>
        </is>
      </c>
      <c r="M40" s="4" t="n"/>
      <c r="N40" s="4" t="n"/>
      <c r="O40" s="4" t="n"/>
      <c r="P40" s="4" t="n"/>
      <c r="Q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>
        <v>5</v>
      </c>
      <c r="L41" s="4" t="inlineStr">
        <is>
          <t>Prospect</t>
        </is>
      </c>
      <c r="M41" s="4" t="n"/>
      <c r="N41" s="4" t="n"/>
      <c r="O41" s="4" t="n"/>
      <c r="P41" s="4" t="n"/>
      <c r="Q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>
        <v>5</v>
      </c>
      <c r="L42" s="4" t="inlineStr">
        <is>
          <t>Prospect</t>
        </is>
      </c>
      <c r="M42" s="4" t="n"/>
      <c r="N42" s="4" t="n"/>
      <c r="O42" s="4" t="n"/>
      <c r="P42" s="4" t="n"/>
      <c r="Q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>
        <v>5</v>
      </c>
      <c r="L43" s="4" t="inlineStr">
        <is>
          <t>Prospect</t>
        </is>
      </c>
      <c r="M43" s="4" t="n"/>
      <c r="N43" s="4" t="n"/>
      <c r="O43" s="4" t="n"/>
      <c r="P43" s="4" t="n"/>
      <c r="Q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>
        <v>5</v>
      </c>
      <c r="L44" s="4" t="inlineStr">
        <is>
          <t>Prospect</t>
        </is>
      </c>
      <c r="M44" s="4" t="n"/>
      <c r="N44" s="4" t="n"/>
      <c r="O44" s="4" t="n"/>
      <c r="P44" s="4" t="n"/>
      <c r="Q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>
        <v>5</v>
      </c>
      <c r="L45" s="4" t="inlineStr">
        <is>
          <t>Prospect</t>
        </is>
      </c>
      <c r="M45" s="4" t="n"/>
      <c r="N45" s="4" t="n"/>
      <c r="O45" s="4" t="n"/>
      <c r="P45" s="4" t="n"/>
      <c r="Q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>
        <v>5</v>
      </c>
      <c r="L46" s="4" t="inlineStr">
        <is>
          <t>Prospect</t>
        </is>
      </c>
      <c r="M46" s="4" t="n"/>
      <c r="N46" s="4" t="n"/>
      <c r="O46" s="4" t="n"/>
      <c r="P46" s="4" t="n"/>
      <c r="Q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>
        <v>5</v>
      </c>
      <c r="L47" s="4" t="inlineStr">
        <is>
          <t>Prospect</t>
        </is>
      </c>
      <c r="M47" s="4" t="n"/>
      <c r="N47" s="4" t="n"/>
      <c r="O47" s="4" t="n"/>
      <c r="P47" s="4" t="n"/>
      <c r="Q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>
        <v>5</v>
      </c>
      <c r="L48" s="4" t="inlineStr">
        <is>
          <t>Prospect</t>
        </is>
      </c>
      <c r="M48" s="4" t="n"/>
      <c r="N48" s="4" t="n"/>
      <c r="O48" s="4" t="n"/>
      <c r="P48" s="4" t="n"/>
      <c r="Q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>
        <v>5</v>
      </c>
      <c r="L49" s="4" t="inlineStr">
        <is>
          <t>Prospect</t>
        </is>
      </c>
      <c r="M49" s="4" t="n"/>
      <c r="N49" s="4" t="n"/>
      <c r="O49" s="4" t="n"/>
      <c r="P49" s="4" t="n"/>
      <c r="Q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>
        <v>5</v>
      </c>
      <c r="L50" s="4" t="inlineStr">
        <is>
          <t>Prospect</t>
        </is>
      </c>
      <c r="M50" s="4" t="n"/>
      <c r="N50" s="4" t="n"/>
      <c r="O50" s="4" t="n"/>
      <c r="P50" s="4" t="n"/>
      <c r="Q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>
        <v>5</v>
      </c>
      <c r="L51" s="4" t="inlineStr">
        <is>
          <t>Prospect</t>
        </is>
      </c>
      <c r="M51" s="4" t="n"/>
      <c r="N51" s="4" t="n"/>
      <c r="O51" s="4" t="n"/>
      <c r="P51" s="4" t="n"/>
      <c r="Q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>
        <v>5</v>
      </c>
      <c r="L52" s="4" t="inlineStr">
        <is>
          <t>Prospect</t>
        </is>
      </c>
      <c r="M52" s="4" t="n"/>
      <c r="N52" s="4" t="n"/>
      <c r="O52" s="4" t="n"/>
      <c r="P52" s="4" t="n"/>
      <c r="Q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>
        <v>5</v>
      </c>
      <c r="L53" s="4" t="inlineStr">
        <is>
          <t>Prospect</t>
        </is>
      </c>
      <c r="M53" s="4" t="n"/>
      <c r="N53" s="4" t="n"/>
      <c r="O53" s="4" t="n"/>
      <c r="P53" s="4" t="n"/>
      <c r="Q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>
        <v>5</v>
      </c>
      <c r="L54" s="4" t="inlineStr">
        <is>
          <t>Prospect</t>
        </is>
      </c>
      <c r="M54" s="4" t="n"/>
      <c r="N54" s="4" t="n"/>
      <c r="O54" s="4" t="n"/>
      <c r="P54" s="4" t="n"/>
      <c r="Q54" s="4" t="n"/>
    </row>
    <row r="55">
      <c r="A55" s="2" t="inlineStr">
        <is>
          <t>Stages: Prospect | Contacted | Responded | Discovery Call | Audit in Progress | Proposal Sent | Negotiation | Closed Won | Closed Lost | Nurture</t>
        </is>
      </c>
    </row>
    <row r="56">
      <c r="A56" s="2" t="inlineStr">
        <is>
          <t>TIP: In Excel, use Data &gt; Data Validation &gt; List for Stage column (L) with the stage names above.</t>
        </is>
      </c>
    </row>
  </sheetData>
  <mergeCells count="4">
    <mergeCell ref="A2:Q2"/>
    <mergeCell ref="A55:Q55"/>
    <mergeCell ref="A1:Q1"/>
    <mergeCell ref="A56:Q56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36" customHeight="1">
      <c r="A1" s="5" t="inlineStr">
        <is>
          <t>Pipeline Summary Dashboard</t>
        </is>
      </c>
    </row>
    <row r="3">
      <c r="A3" s="6" t="inlineStr">
        <is>
          <t>KEY METRICS</t>
        </is>
      </c>
    </row>
    <row r="4">
      <c r="A4" s="7" t="inlineStr">
        <is>
          <t>Total Leads</t>
        </is>
      </c>
      <c r="B4" s="8">
        <f>COUNTA('Lead Tracker'!C5:C54)</f>
        <v/>
      </c>
    </row>
    <row r="5">
      <c r="A5" s="7" t="inlineStr">
        <is>
          <t>Active Pipeline</t>
        </is>
      </c>
      <c r="B5" s="9">
        <f>COUNTIF('Lead Tracker'!L5:L54,"Prospect")+COUNTIF('Lead Tracker'!L5:L54,"Contacted")+COUNTIF('Lead Tracker'!L5:L54,"Responded")+COUNTIF('Lead Tracker'!L5:L54,"Discovery Call")+COUNTIF('Lead Tracker'!L5:L54,"Audit in Progress")+COUNTIF('Lead Tracker'!L5:L54,"Proposal Sent")+COUNTIF('Lead Tracker'!L5:L54,"Negotiation")</f>
        <v/>
      </c>
    </row>
    <row r="6">
      <c r="A6" s="7" t="inlineStr">
        <is>
          <t>Closed Won</t>
        </is>
      </c>
      <c r="B6" s="10">
        <f>COUNTIF('Lead Tracker'!L5:L54,"Closed Won")</f>
        <v/>
      </c>
    </row>
    <row r="7">
      <c r="A7" s="7" t="inlineStr">
        <is>
          <t>Closed Lost</t>
        </is>
      </c>
      <c r="B7" s="11">
        <f>COUNTIF('Lead Tracker'!L5:L54,"Closed Lost")</f>
        <v/>
      </c>
    </row>
    <row r="8">
      <c r="A8" s="7" t="inlineStr">
        <is>
          <t>Pipeline Value ($)</t>
        </is>
      </c>
      <c r="B8" s="12">
        <f>SUMPRODUCT(('Lead Tracker'!L5:L54&lt;&gt;"Closed Won")*('Lead Tracker'!L5:L54&lt;&gt;"Closed Lost")*('Lead Tracker'!L5:L54&lt;&gt;"Nurture")*('Lead Tracker'!M5:M54))</f>
        <v/>
      </c>
    </row>
    <row r="9">
      <c r="A9" s="7" t="inlineStr">
        <is>
          <t>Won Revenue ($)</t>
        </is>
      </c>
      <c r="B9" s="13">
        <f>SUMIF('Lead Tracker'!L5:L54,"Closed Won",'Lead Tracker'!M5:M54)</f>
        <v/>
      </c>
    </row>
    <row r="10">
      <c r="A10" s="7" t="inlineStr">
        <is>
          <t>Avg Deal Size ($)</t>
        </is>
      </c>
      <c r="B10" s="14">
        <f>IFERROR(SUMIF('Lead Tracker'!L5:L54,"Closed Won",'Lead Tracker'!M5:M54)/COUNTIF('Lead Tracker'!L5:L54,"Closed Won"),0)</f>
        <v/>
      </c>
    </row>
    <row r="11">
      <c r="A11" s="7" t="inlineStr">
        <is>
          <t>Conversion Rate</t>
        </is>
      </c>
      <c r="B11" s="10">
        <f>IFERROR(COUNTIF('Lead Tracker'!L5:L54,"Closed Won")/COUNTA('Lead Tracker'!L5:L54),0)</f>
        <v/>
      </c>
    </row>
    <row r="13">
      <c r="A13" s="6" t="inlineStr">
        <is>
          <t>PIPELINE BY STAGE</t>
        </is>
      </c>
    </row>
    <row r="14">
      <c r="A14" s="3" t="inlineStr">
        <is>
          <t>Stage</t>
        </is>
      </c>
      <c r="B14" s="3" t="inlineStr">
        <is>
          <t>Count</t>
        </is>
      </c>
      <c r="C14" s="3" t="inlineStr">
        <is>
          <t>Value ($)</t>
        </is>
      </c>
      <c r="D14" s="3" t="inlineStr">
        <is>
          <t>Avg Score</t>
        </is>
      </c>
    </row>
    <row r="15">
      <c r="A15" s="15" t="inlineStr">
        <is>
          <t>Prospect</t>
        </is>
      </c>
      <c r="B15" s="16">
        <f>COUNTIF('Lead Tracker'!L$5:L$54,"Prospect")</f>
        <v/>
      </c>
      <c r="C15" s="17">
        <f>SUMIF('Lead Tracker'!L$5:L$54,"Prospect",'Lead Tracker'!M$5:M$54)</f>
        <v/>
      </c>
      <c r="D15" s="18">
        <f>IFERROR(AVERAGEIF('Lead Tracker'!L$5:L$54,"Prospect",'Lead Tracker'!K$5:K$54),0)</f>
        <v/>
      </c>
    </row>
    <row r="16">
      <c r="A16" s="19" t="inlineStr">
        <is>
          <t>Contacted</t>
        </is>
      </c>
      <c r="B16" s="16">
        <f>COUNTIF('Lead Tracker'!L$5:L$54,"Contacted")</f>
        <v/>
      </c>
      <c r="C16" s="17">
        <f>SUMIF('Lead Tracker'!L$5:L$54,"Contacted",'Lead Tracker'!M$5:M$54)</f>
        <v/>
      </c>
      <c r="D16" s="18">
        <f>IFERROR(AVERAGEIF('Lead Tracker'!L$5:L$54,"Contacted",'Lead Tracker'!K$5:K$54),0)</f>
        <v/>
      </c>
    </row>
    <row r="17">
      <c r="A17" s="19" t="inlineStr">
        <is>
          <t>Responded</t>
        </is>
      </c>
      <c r="B17" s="16">
        <f>COUNTIF('Lead Tracker'!L$5:L$54,"Responded")</f>
        <v/>
      </c>
      <c r="C17" s="17">
        <f>SUMIF('Lead Tracker'!L$5:L$54,"Responded",'Lead Tracker'!M$5:M$54)</f>
        <v/>
      </c>
      <c r="D17" s="18">
        <f>IFERROR(AVERAGEIF('Lead Tracker'!L$5:L$54,"Responded",'Lead Tracker'!K$5:K$54),0)</f>
        <v/>
      </c>
    </row>
    <row r="18">
      <c r="A18" s="20" t="inlineStr">
        <is>
          <t>Discovery Call</t>
        </is>
      </c>
      <c r="B18" s="16">
        <f>COUNTIF('Lead Tracker'!L$5:L$54,"Discovery Call")</f>
        <v/>
      </c>
      <c r="C18" s="17">
        <f>SUMIF('Lead Tracker'!L$5:L$54,"Discovery Call",'Lead Tracker'!M$5:M$54)</f>
        <v/>
      </c>
      <c r="D18" s="18">
        <f>IFERROR(AVERAGEIF('Lead Tracker'!L$5:L$54,"Discovery Call",'Lead Tracker'!K$5:K$54),0)</f>
        <v/>
      </c>
    </row>
    <row r="19">
      <c r="A19" s="20" t="inlineStr">
        <is>
          <t>Audit in Progress</t>
        </is>
      </c>
      <c r="B19" s="16">
        <f>COUNTIF('Lead Tracker'!L$5:L$54,"Audit in Progress")</f>
        <v/>
      </c>
      <c r="C19" s="17">
        <f>SUMIF('Lead Tracker'!L$5:L$54,"Audit in Progress",'Lead Tracker'!M$5:M$54)</f>
        <v/>
      </c>
      <c r="D19" s="18">
        <f>IFERROR(AVERAGEIF('Lead Tracker'!L$5:L$54,"Audit in Progress",'Lead Tracker'!K$5:K$54),0)</f>
        <v/>
      </c>
    </row>
    <row r="20">
      <c r="A20" s="21" t="inlineStr">
        <is>
          <t>Proposal Sent</t>
        </is>
      </c>
      <c r="B20" s="16">
        <f>COUNTIF('Lead Tracker'!L$5:L$54,"Proposal Sent")</f>
        <v/>
      </c>
      <c r="C20" s="17">
        <f>SUMIF('Lead Tracker'!L$5:L$54,"Proposal Sent",'Lead Tracker'!M$5:M$54)</f>
        <v/>
      </c>
      <c r="D20" s="18">
        <f>IFERROR(AVERAGEIF('Lead Tracker'!L$5:L$54,"Proposal Sent",'Lead Tracker'!K$5:K$54),0)</f>
        <v/>
      </c>
    </row>
    <row r="21">
      <c r="A21" s="21" t="inlineStr">
        <is>
          <t>Negotiation</t>
        </is>
      </c>
      <c r="B21" s="16">
        <f>COUNTIF('Lead Tracker'!L$5:L$54,"Negotiation")</f>
        <v/>
      </c>
      <c r="C21" s="17">
        <f>SUMIF('Lead Tracker'!L$5:L$54,"Negotiation",'Lead Tracker'!M$5:M$54)</f>
        <v/>
      </c>
      <c r="D21" s="18">
        <f>IFERROR(AVERAGEIF('Lead Tracker'!L$5:L$54,"Negotiation",'Lead Tracker'!K$5:K$54),0)</f>
        <v/>
      </c>
    </row>
    <row r="22">
      <c r="A22" s="22" t="inlineStr">
        <is>
          <t>Closed Won</t>
        </is>
      </c>
      <c r="B22" s="16">
        <f>COUNTIF('Lead Tracker'!L$5:L$54,"Closed Won")</f>
        <v/>
      </c>
      <c r="C22" s="17">
        <f>SUMIF('Lead Tracker'!L$5:L$54,"Closed Won",'Lead Tracker'!M$5:M$54)</f>
        <v/>
      </c>
      <c r="D22" s="18">
        <f>IFERROR(AVERAGEIF('Lead Tracker'!L$5:L$54,"Closed Won",'Lead Tracker'!K$5:K$54),0)</f>
        <v/>
      </c>
    </row>
    <row r="23">
      <c r="A23" s="23" t="inlineStr">
        <is>
          <t>Closed Lost</t>
        </is>
      </c>
      <c r="B23" s="16">
        <f>COUNTIF('Lead Tracker'!L$5:L$54,"Closed Lost")</f>
        <v/>
      </c>
      <c r="C23" s="17">
        <f>SUMIF('Lead Tracker'!L$5:L$54,"Closed Lost",'Lead Tracker'!M$5:M$54)</f>
        <v/>
      </c>
      <c r="D23" s="18">
        <f>IFERROR(AVERAGEIF('Lead Tracker'!L$5:L$54,"Closed Lost",'Lead Tracker'!K$5:K$54),0)</f>
        <v/>
      </c>
    </row>
    <row r="24">
      <c r="A24" s="24" t="inlineStr">
        <is>
          <t>Nurture</t>
        </is>
      </c>
      <c r="B24" s="16">
        <f>COUNTIF('Lead Tracker'!L$5:L$54,"Nurture")</f>
        <v/>
      </c>
      <c r="C24" s="17">
        <f>SUMIF('Lead Tracker'!L$5:L$54,"Nurture",'Lead Tracker'!M$5:M$54)</f>
        <v/>
      </c>
      <c r="D24" s="18">
        <f>IFERROR(AVERAGEIF('Lead Tracker'!L$5:L$54,"Nurture",'Lead Tracker'!K$5:K$54),0)</f>
        <v/>
      </c>
    </row>
    <row r="25">
      <c r="A25" s="25" t="inlineStr">
        <is>
          <t>TOTAL</t>
        </is>
      </c>
      <c r="B25" s="26">
        <f>SUM(B15:B24)</f>
        <v/>
      </c>
      <c r="C25" s="27">
        <f>SUM(C15:C24)</f>
        <v/>
      </c>
      <c r="D25" s="28">
        <f>AVERAGE(D15:D24)</f>
        <v/>
      </c>
    </row>
  </sheetData>
  <mergeCells count="1">
    <mergeCell ref="A1:H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G5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5" t="inlineStr">
        <is>
          <t>Email Sequence Tracker</t>
        </is>
      </c>
    </row>
    <row r="3">
      <c r="A3" s="3" t="inlineStr">
        <is>
          <t>Company</t>
        </is>
      </c>
      <c r="B3" s="3" t="inlineStr">
        <is>
          <t>Contact</t>
        </is>
      </c>
      <c r="C3" s="3" t="inlineStr">
        <is>
          <t>Email 1 Sent</t>
        </is>
      </c>
      <c r="D3" s="3" t="inlineStr">
        <is>
          <t>Email 2 Sent</t>
        </is>
      </c>
      <c r="E3" s="3" t="inlineStr">
        <is>
          <t>Email 3 Sent</t>
        </is>
      </c>
      <c r="F3" s="3" t="inlineStr">
        <is>
          <t>Email 4 Sent</t>
        </is>
      </c>
      <c r="G3" s="3" t="inlineStr">
        <is>
          <t>Reply Received?</t>
        </is>
      </c>
    </row>
    <row r="4">
      <c r="A4" s="16" t="n"/>
      <c r="B4" s="16" t="n"/>
      <c r="C4" s="16" t="inlineStr">
        <is>
          <t>☐</t>
        </is>
      </c>
      <c r="D4" s="16" t="inlineStr">
        <is>
          <t>☐</t>
        </is>
      </c>
      <c r="E4" s="16" t="inlineStr">
        <is>
          <t>☐</t>
        </is>
      </c>
      <c r="F4" s="16" t="inlineStr">
        <is>
          <t>☐</t>
        </is>
      </c>
      <c r="G4" s="16" t="inlineStr">
        <is>
          <t>☐</t>
        </is>
      </c>
    </row>
    <row r="5">
      <c r="A5" s="16" t="n"/>
      <c r="B5" s="16" t="n"/>
      <c r="C5" s="16" t="inlineStr">
        <is>
          <t>☐</t>
        </is>
      </c>
      <c r="D5" s="16" t="inlineStr">
        <is>
          <t>☐</t>
        </is>
      </c>
      <c r="E5" s="16" t="inlineStr">
        <is>
          <t>☐</t>
        </is>
      </c>
      <c r="F5" s="16" t="inlineStr">
        <is>
          <t>☐</t>
        </is>
      </c>
      <c r="G5" s="16" t="inlineStr">
        <is>
          <t>☐</t>
        </is>
      </c>
    </row>
    <row r="6">
      <c r="A6" s="16" t="n"/>
      <c r="B6" s="16" t="n"/>
      <c r="C6" s="16" t="inlineStr">
        <is>
          <t>☐</t>
        </is>
      </c>
      <c r="D6" s="16" t="inlineStr">
        <is>
          <t>☐</t>
        </is>
      </c>
      <c r="E6" s="16" t="inlineStr">
        <is>
          <t>☐</t>
        </is>
      </c>
      <c r="F6" s="16" t="inlineStr">
        <is>
          <t>☐</t>
        </is>
      </c>
      <c r="G6" s="16" t="inlineStr">
        <is>
          <t>☐</t>
        </is>
      </c>
    </row>
    <row r="7">
      <c r="A7" s="16" t="n"/>
      <c r="B7" s="16" t="n"/>
      <c r="C7" s="16" t="inlineStr">
        <is>
          <t>☐</t>
        </is>
      </c>
      <c r="D7" s="16" t="inlineStr">
        <is>
          <t>☐</t>
        </is>
      </c>
      <c r="E7" s="16" t="inlineStr">
        <is>
          <t>☐</t>
        </is>
      </c>
      <c r="F7" s="16" t="inlineStr">
        <is>
          <t>☐</t>
        </is>
      </c>
      <c r="G7" s="16" t="inlineStr">
        <is>
          <t>☐</t>
        </is>
      </c>
    </row>
    <row r="8">
      <c r="A8" s="16" t="n"/>
      <c r="B8" s="16" t="n"/>
      <c r="C8" s="16" t="inlineStr">
        <is>
          <t>☐</t>
        </is>
      </c>
      <c r="D8" s="16" t="inlineStr">
        <is>
          <t>☐</t>
        </is>
      </c>
      <c r="E8" s="16" t="inlineStr">
        <is>
          <t>☐</t>
        </is>
      </c>
      <c r="F8" s="16" t="inlineStr">
        <is>
          <t>☐</t>
        </is>
      </c>
      <c r="G8" s="16" t="inlineStr">
        <is>
          <t>☐</t>
        </is>
      </c>
    </row>
    <row r="9">
      <c r="A9" s="16" t="n"/>
      <c r="B9" s="16" t="n"/>
      <c r="C9" s="16" t="inlineStr">
        <is>
          <t>☐</t>
        </is>
      </c>
      <c r="D9" s="16" t="inlineStr">
        <is>
          <t>☐</t>
        </is>
      </c>
      <c r="E9" s="16" t="inlineStr">
        <is>
          <t>☐</t>
        </is>
      </c>
      <c r="F9" s="16" t="inlineStr">
        <is>
          <t>☐</t>
        </is>
      </c>
      <c r="G9" s="16" t="inlineStr">
        <is>
          <t>☐</t>
        </is>
      </c>
    </row>
    <row r="10">
      <c r="A10" s="16" t="n"/>
      <c r="B10" s="16" t="n"/>
      <c r="C10" s="16" t="inlineStr">
        <is>
          <t>☐</t>
        </is>
      </c>
      <c r="D10" s="16" t="inlineStr">
        <is>
          <t>☐</t>
        </is>
      </c>
      <c r="E10" s="16" t="inlineStr">
        <is>
          <t>☐</t>
        </is>
      </c>
      <c r="F10" s="16" t="inlineStr">
        <is>
          <t>☐</t>
        </is>
      </c>
      <c r="G10" s="16" t="inlineStr">
        <is>
          <t>☐</t>
        </is>
      </c>
    </row>
    <row r="11">
      <c r="A11" s="16" t="n"/>
      <c r="B11" s="16" t="n"/>
      <c r="C11" s="16" t="inlineStr">
        <is>
          <t>☐</t>
        </is>
      </c>
      <c r="D11" s="16" t="inlineStr">
        <is>
          <t>☐</t>
        </is>
      </c>
      <c r="E11" s="16" t="inlineStr">
        <is>
          <t>☐</t>
        </is>
      </c>
      <c r="F11" s="16" t="inlineStr">
        <is>
          <t>☐</t>
        </is>
      </c>
      <c r="G11" s="16" t="inlineStr">
        <is>
          <t>☐</t>
        </is>
      </c>
    </row>
    <row r="12">
      <c r="A12" s="16" t="n"/>
      <c r="B12" s="16" t="n"/>
      <c r="C12" s="16" t="inlineStr">
        <is>
          <t>☐</t>
        </is>
      </c>
      <c r="D12" s="16" t="inlineStr">
        <is>
          <t>☐</t>
        </is>
      </c>
      <c r="E12" s="16" t="inlineStr">
        <is>
          <t>☐</t>
        </is>
      </c>
      <c r="F12" s="16" t="inlineStr">
        <is>
          <t>☐</t>
        </is>
      </c>
      <c r="G12" s="16" t="inlineStr">
        <is>
          <t>☐</t>
        </is>
      </c>
    </row>
    <row r="13">
      <c r="A13" s="16" t="n"/>
      <c r="B13" s="16" t="n"/>
      <c r="C13" s="16" t="inlineStr">
        <is>
          <t>☐</t>
        </is>
      </c>
      <c r="D13" s="16" t="inlineStr">
        <is>
          <t>☐</t>
        </is>
      </c>
      <c r="E13" s="16" t="inlineStr">
        <is>
          <t>☐</t>
        </is>
      </c>
      <c r="F13" s="16" t="inlineStr">
        <is>
          <t>☐</t>
        </is>
      </c>
      <c r="G13" s="16" t="inlineStr">
        <is>
          <t>☐</t>
        </is>
      </c>
    </row>
    <row r="14">
      <c r="A14" s="16" t="n"/>
      <c r="B14" s="16" t="n"/>
      <c r="C14" s="16" t="inlineStr">
        <is>
          <t>☐</t>
        </is>
      </c>
      <c r="D14" s="16" t="inlineStr">
        <is>
          <t>☐</t>
        </is>
      </c>
      <c r="E14" s="16" t="inlineStr">
        <is>
          <t>☐</t>
        </is>
      </c>
      <c r="F14" s="16" t="inlineStr">
        <is>
          <t>☐</t>
        </is>
      </c>
      <c r="G14" s="16" t="inlineStr">
        <is>
          <t>☐</t>
        </is>
      </c>
    </row>
    <row r="15">
      <c r="A15" s="16" t="n"/>
      <c r="B15" s="16" t="n"/>
      <c r="C15" s="16" t="inlineStr">
        <is>
          <t>☐</t>
        </is>
      </c>
      <c r="D15" s="16" t="inlineStr">
        <is>
          <t>☐</t>
        </is>
      </c>
      <c r="E15" s="16" t="inlineStr">
        <is>
          <t>☐</t>
        </is>
      </c>
      <c r="F15" s="16" t="inlineStr">
        <is>
          <t>☐</t>
        </is>
      </c>
      <c r="G15" s="16" t="inlineStr">
        <is>
          <t>☐</t>
        </is>
      </c>
    </row>
    <row r="16">
      <c r="A16" s="16" t="n"/>
      <c r="B16" s="16" t="n"/>
      <c r="C16" s="16" t="inlineStr">
        <is>
          <t>☐</t>
        </is>
      </c>
      <c r="D16" s="16" t="inlineStr">
        <is>
          <t>☐</t>
        </is>
      </c>
      <c r="E16" s="16" t="inlineStr">
        <is>
          <t>☐</t>
        </is>
      </c>
      <c r="F16" s="16" t="inlineStr">
        <is>
          <t>☐</t>
        </is>
      </c>
      <c r="G16" s="16" t="inlineStr">
        <is>
          <t>☐</t>
        </is>
      </c>
    </row>
    <row r="17">
      <c r="A17" s="16" t="n"/>
      <c r="B17" s="16" t="n"/>
      <c r="C17" s="16" t="inlineStr">
        <is>
          <t>☐</t>
        </is>
      </c>
      <c r="D17" s="16" t="inlineStr">
        <is>
          <t>☐</t>
        </is>
      </c>
      <c r="E17" s="16" t="inlineStr">
        <is>
          <t>☐</t>
        </is>
      </c>
      <c r="F17" s="16" t="inlineStr">
        <is>
          <t>☐</t>
        </is>
      </c>
      <c r="G17" s="16" t="inlineStr">
        <is>
          <t>☐</t>
        </is>
      </c>
    </row>
    <row r="18">
      <c r="A18" s="16" t="n"/>
      <c r="B18" s="16" t="n"/>
      <c r="C18" s="16" t="inlineStr">
        <is>
          <t>☐</t>
        </is>
      </c>
      <c r="D18" s="16" t="inlineStr">
        <is>
          <t>☐</t>
        </is>
      </c>
      <c r="E18" s="16" t="inlineStr">
        <is>
          <t>☐</t>
        </is>
      </c>
      <c r="F18" s="16" t="inlineStr">
        <is>
          <t>☐</t>
        </is>
      </c>
      <c r="G18" s="16" t="inlineStr">
        <is>
          <t>☐</t>
        </is>
      </c>
    </row>
    <row r="19">
      <c r="A19" s="16" t="n"/>
      <c r="B19" s="16" t="n"/>
      <c r="C19" s="16" t="inlineStr">
        <is>
          <t>☐</t>
        </is>
      </c>
      <c r="D19" s="16" t="inlineStr">
        <is>
          <t>☐</t>
        </is>
      </c>
      <c r="E19" s="16" t="inlineStr">
        <is>
          <t>☐</t>
        </is>
      </c>
      <c r="F19" s="16" t="inlineStr">
        <is>
          <t>☐</t>
        </is>
      </c>
      <c r="G19" s="16" t="inlineStr">
        <is>
          <t>☐</t>
        </is>
      </c>
    </row>
    <row r="20">
      <c r="A20" s="16" t="n"/>
      <c r="B20" s="16" t="n"/>
      <c r="C20" s="16" t="inlineStr">
        <is>
          <t>☐</t>
        </is>
      </c>
      <c r="D20" s="16" t="inlineStr">
        <is>
          <t>☐</t>
        </is>
      </c>
      <c r="E20" s="16" t="inlineStr">
        <is>
          <t>☐</t>
        </is>
      </c>
      <c r="F20" s="16" t="inlineStr">
        <is>
          <t>☐</t>
        </is>
      </c>
      <c r="G20" s="16" t="inlineStr">
        <is>
          <t>☐</t>
        </is>
      </c>
    </row>
    <row r="21">
      <c r="A21" s="16" t="n"/>
      <c r="B21" s="16" t="n"/>
      <c r="C21" s="16" t="inlineStr">
        <is>
          <t>☐</t>
        </is>
      </c>
      <c r="D21" s="16" t="inlineStr">
        <is>
          <t>☐</t>
        </is>
      </c>
      <c r="E21" s="16" t="inlineStr">
        <is>
          <t>☐</t>
        </is>
      </c>
      <c r="F21" s="16" t="inlineStr">
        <is>
          <t>☐</t>
        </is>
      </c>
      <c r="G21" s="16" t="inlineStr">
        <is>
          <t>☐</t>
        </is>
      </c>
    </row>
    <row r="22">
      <c r="A22" s="16" t="n"/>
      <c r="B22" s="16" t="n"/>
      <c r="C22" s="16" t="inlineStr">
        <is>
          <t>☐</t>
        </is>
      </c>
      <c r="D22" s="16" t="inlineStr">
        <is>
          <t>☐</t>
        </is>
      </c>
      <c r="E22" s="16" t="inlineStr">
        <is>
          <t>☐</t>
        </is>
      </c>
      <c r="F22" s="16" t="inlineStr">
        <is>
          <t>☐</t>
        </is>
      </c>
      <c r="G22" s="16" t="inlineStr">
        <is>
          <t>☐</t>
        </is>
      </c>
    </row>
    <row r="23">
      <c r="A23" s="16" t="n"/>
      <c r="B23" s="16" t="n"/>
      <c r="C23" s="16" t="inlineStr">
        <is>
          <t>☐</t>
        </is>
      </c>
      <c r="D23" s="16" t="inlineStr">
        <is>
          <t>☐</t>
        </is>
      </c>
      <c r="E23" s="16" t="inlineStr">
        <is>
          <t>☐</t>
        </is>
      </c>
      <c r="F23" s="16" t="inlineStr">
        <is>
          <t>☐</t>
        </is>
      </c>
      <c r="G23" s="16" t="inlineStr">
        <is>
          <t>☐</t>
        </is>
      </c>
    </row>
    <row r="24">
      <c r="A24" s="16" t="n"/>
      <c r="B24" s="16" t="n"/>
      <c r="C24" s="16" t="inlineStr">
        <is>
          <t>☐</t>
        </is>
      </c>
      <c r="D24" s="16" t="inlineStr">
        <is>
          <t>☐</t>
        </is>
      </c>
      <c r="E24" s="16" t="inlineStr">
        <is>
          <t>☐</t>
        </is>
      </c>
      <c r="F24" s="16" t="inlineStr">
        <is>
          <t>☐</t>
        </is>
      </c>
      <c r="G24" s="16" t="inlineStr">
        <is>
          <t>☐</t>
        </is>
      </c>
    </row>
    <row r="25">
      <c r="A25" s="16" t="n"/>
      <c r="B25" s="16" t="n"/>
      <c r="C25" s="16" t="inlineStr">
        <is>
          <t>☐</t>
        </is>
      </c>
      <c r="D25" s="16" t="inlineStr">
        <is>
          <t>☐</t>
        </is>
      </c>
      <c r="E25" s="16" t="inlineStr">
        <is>
          <t>☐</t>
        </is>
      </c>
      <c r="F25" s="16" t="inlineStr">
        <is>
          <t>☐</t>
        </is>
      </c>
      <c r="G25" s="16" t="inlineStr">
        <is>
          <t>☐</t>
        </is>
      </c>
    </row>
    <row r="26">
      <c r="A26" s="16" t="n"/>
      <c r="B26" s="16" t="n"/>
      <c r="C26" s="16" t="inlineStr">
        <is>
          <t>☐</t>
        </is>
      </c>
      <c r="D26" s="16" t="inlineStr">
        <is>
          <t>☐</t>
        </is>
      </c>
      <c r="E26" s="16" t="inlineStr">
        <is>
          <t>☐</t>
        </is>
      </c>
      <c r="F26" s="16" t="inlineStr">
        <is>
          <t>☐</t>
        </is>
      </c>
      <c r="G26" s="16" t="inlineStr">
        <is>
          <t>☐</t>
        </is>
      </c>
    </row>
    <row r="27">
      <c r="A27" s="16" t="n"/>
      <c r="B27" s="16" t="n"/>
      <c r="C27" s="16" t="inlineStr">
        <is>
          <t>☐</t>
        </is>
      </c>
      <c r="D27" s="16" t="inlineStr">
        <is>
          <t>☐</t>
        </is>
      </c>
      <c r="E27" s="16" t="inlineStr">
        <is>
          <t>☐</t>
        </is>
      </c>
      <c r="F27" s="16" t="inlineStr">
        <is>
          <t>☐</t>
        </is>
      </c>
      <c r="G27" s="16" t="inlineStr">
        <is>
          <t>☐</t>
        </is>
      </c>
    </row>
    <row r="28">
      <c r="A28" s="16" t="n"/>
      <c r="B28" s="16" t="n"/>
      <c r="C28" s="16" t="inlineStr">
        <is>
          <t>☐</t>
        </is>
      </c>
      <c r="D28" s="16" t="inlineStr">
        <is>
          <t>☐</t>
        </is>
      </c>
      <c r="E28" s="16" t="inlineStr">
        <is>
          <t>☐</t>
        </is>
      </c>
      <c r="F28" s="16" t="inlineStr">
        <is>
          <t>☐</t>
        </is>
      </c>
      <c r="G28" s="16" t="inlineStr">
        <is>
          <t>☐</t>
        </is>
      </c>
    </row>
    <row r="29">
      <c r="A29" s="16" t="n"/>
      <c r="B29" s="16" t="n"/>
      <c r="C29" s="16" t="inlineStr">
        <is>
          <t>☐</t>
        </is>
      </c>
      <c r="D29" s="16" t="inlineStr">
        <is>
          <t>☐</t>
        </is>
      </c>
      <c r="E29" s="16" t="inlineStr">
        <is>
          <t>☐</t>
        </is>
      </c>
      <c r="F29" s="16" t="inlineStr">
        <is>
          <t>☐</t>
        </is>
      </c>
      <c r="G29" s="16" t="inlineStr">
        <is>
          <t>☐</t>
        </is>
      </c>
    </row>
    <row r="30">
      <c r="A30" s="16" t="n"/>
      <c r="B30" s="16" t="n"/>
      <c r="C30" s="16" t="inlineStr">
        <is>
          <t>☐</t>
        </is>
      </c>
      <c r="D30" s="16" t="inlineStr">
        <is>
          <t>☐</t>
        </is>
      </c>
      <c r="E30" s="16" t="inlineStr">
        <is>
          <t>☐</t>
        </is>
      </c>
      <c r="F30" s="16" t="inlineStr">
        <is>
          <t>☐</t>
        </is>
      </c>
      <c r="G30" s="16" t="inlineStr">
        <is>
          <t>☐</t>
        </is>
      </c>
    </row>
    <row r="31">
      <c r="A31" s="16" t="n"/>
      <c r="B31" s="16" t="n"/>
      <c r="C31" s="16" t="inlineStr">
        <is>
          <t>☐</t>
        </is>
      </c>
      <c r="D31" s="16" t="inlineStr">
        <is>
          <t>☐</t>
        </is>
      </c>
      <c r="E31" s="16" t="inlineStr">
        <is>
          <t>☐</t>
        </is>
      </c>
      <c r="F31" s="16" t="inlineStr">
        <is>
          <t>☐</t>
        </is>
      </c>
      <c r="G31" s="16" t="inlineStr">
        <is>
          <t>☐</t>
        </is>
      </c>
    </row>
    <row r="32">
      <c r="A32" s="16" t="n"/>
      <c r="B32" s="16" t="n"/>
      <c r="C32" s="16" t="inlineStr">
        <is>
          <t>☐</t>
        </is>
      </c>
      <c r="D32" s="16" t="inlineStr">
        <is>
          <t>☐</t>
        </is>
      </c>
      <c r="E32" s="16" t="inlineStr">
        <is>
          <t>☐</t>
        </is>
      </c>
      <c r="F32" s="16" t="inlineStr">
        <is>
          <t>☐</t>
        </is>
      </c>
      <c r="G32" s="16" t="inlineStr">
        <is>
          <t>☐</t>
        </is>
      </c>
    </row>
    <row r="33">
      <c r="A33" s="16" t="n"/>
      <c r="B33" s="16" t="n"/>
      <c r="C33" s="16" t="inlineStr">
        <is>
          <t>☐</t>
        </is>
      </c>
      <c r="D33" s="16" t="inlineStr">
        <is>
          <t>☐</t>
        </is>
      </c>
      <c r="E33" s="16" t="inlineStr">
        <is>
          <t>☐</t>
        </is>
      </c>
      <c r="F33" s="16" t="inlineStr">
        <is>
          <t>☐</t>
        </is>
      </c>
      <c r="G33" s="16" t="inlineStr">
        <is>
          <t>☐</t>
        </is>
      </c>
    </row>
    <row r="34">
      <c r="A34" s="16" t="n"/>
      <c r="B34" s="16" t="n"/>
      <c r="C34" s="16" t="inlineStr">
        <is>
          <t>☐</t>
        </is>
      </c>
      <c r="D34" s="16" t="inlineStr">
        <is>
          <t>☐</t>
        </is>
      </c>
      <c r="E34" s="16" t="inlineStr">
        <is>
          <t>☐</t>
        </is>
      </c>
      <c r="F34" s="16" t="inlineStr">
        <is>
          <t>☐</t>
        </is>
      </c>
      <c r="G34" s="16" t="inlineStr">
        <is>
          <t>☐</t>
        </is>
      </c>
    </row>
    <row r="35">
      <c r="A35" s="16" t="n"/>
      <c r="B35" s="16" t="n"/>
      <c r="C35" s="16" t="inlineStr">
        <is>
          <t>☐</t>
        </is>
      </c>
      <c r="D35" s="16" t="inlineStr">
        <is>
          <t>☐</t>
        </is>
      </c>
      <c r="E35" s="16" t="inlineStr">
        <is>
          <t>☐</t>
        </is>
      </c>
      <c r="F35" s="16" t="inlineStr">
        <is>
          <t>☐</t>
        </is>
      </c>
      <c r="G35" s="16" t="inlineStr">
        <is>
          <t>☐</t>
        </is>
      </c>
    </row>
    <row r="36">
      <c r="A36" s="16" t="n"/>
      <c r="B36" s="16" t="n"/>
      <c r="C36" s="16" t="inlineStr">
        <is>
          <t>☐</t>
        </is>
      </c>
      <c r="D36" s="16" t="inlineStr">
        <is>
          <t>☐</t>
        </is>
      </c>
      <c r="E36" s="16" t="inlineStr">
        <is>
          <t>☐</t>
        </is>
      </c>
      <c r="F36" s="16" t="inlineStr">
        <is>
          <t>☐</t>
        </is>
      </c>
      <c r="G36" s="16" t="inlineStr">
        <is>
          <t>☐</t>
        </is>
      </c>
    </row>
    <row r="37">
      <c r="A37" s="16" t="n"/>
      <c r="B37" s="16" t="n"/>
      <c r="C37" s="16" t="inlineStr">
        <is>
          <t>☐</t>
        </is>
      </c>
      <c r="D37" s="16" t="inlineStr">
        <is>
          <t>☐</t>
        </is>
      </c>
      <c r="E37" s="16" t="inlineStr">
        <is>
          <t>☐</t>
        </is>
      </c>
      <c r="F37" s="16" t="inlineStr">
        <is>
          <t>☐</t>
        </is>
      </c>
      <c r="G37" s="16" t="inlineStr">
        <is>
          <t>☐</t>
        </is>
      </c>
    </row>
    <row r="38">
      <c r="A38" s="16" t="n"/>
      <c r="B38" s="16" t="n"/>
      <c r="C38" s="16" t="inlineStr">
        <is>
          <t>☐</t>
        </is>
      </c>
      <c r="D38" s="16" t="inlineStr">
        <is>
          <t>☐</t>
        </is>
      </c>
      <c r="E38" s="16" t="inlineStr">
        <is>
          <t>☐</t>
        </is>
      </c>
      <c r="F38" s="16" t="inlineStr">
        <is>
          <t>☐</t>
        </is>
      </c>
      <c r="G38" s="16" t="inlineStr">
        <is>
          <t>☐</t>
        </is>
      </c>
    </row>
    <row r="39">
      <c r="A39" s="16" t="n"/>
      <c r="B39" s="16" t="n"/>
      <c r="C39" s="16" t="inlineStr">
        <is>
          <t>☐</t>
        </is>
      </c>
      <c r="D39" s="16" t="inlineStr">
        <is>
          <t>☐</t>
        </is>
      </c>
      <c r="E39" s="16" t="inlineStr">
        <is>
          <t>☐</t>
        </is>
      </c>
      <c r="F39" s="16" t="inlineStr">
        <is>
          <t>☐</t>
        </is>
      </c>
      <c r="G39" s="16" t="inlineStr">
        <is>
          <t>☐</t>
        </is>
      </c>
    </row>
    <row r="40">
      <c r="A40" s="16" t="n"/>
      <c r="B40" s="16" t="n"/>
      <c r="C40" s="16" t="inlineStr">
        <is>
          <t>☐</t>
        </is>
      </c>
      <c r="D40" s="16" t="inlineStr">
        <is>
          <t>☐</t>
        </is>
      </c>
      <c r="E40" s="16" t="inlineStr">
        <is>
          <t>☐</t>
        </is>
      </c>
      <c r="F40" s="16" t="inlineStr">
        <is>
          <t>☐</t>
        </is>
      </c>
      <c r="G40" s="16" t="inlineStr">
        <is>
          <t>☐</t>
        </is>
      </c>
    </row>
    <row r="41">
      <c r="A41" s="16" t="n"/>
      <c r="B41" s="16" t="n"/>
      <c r="C41" s="16" t="inlineStr">
        <is>
          <t>☐</t>
        </is>
      </c>
      <c r="D41" s="16" t="inlineStr">
        <is>
          <t>☐</t>
        </is>
      </c>
      <c r="E41" s="16" t="inlineStr">
        <is>
          <t>☐</t>
        </is>
      </c>
      <c r="F41" s="16" t="inlineStr">
        <is>
          <t>☐</t>
        </is>
      </c>
      <c r="G41" s="16" t="inlineStr">
        <is>
          <t>☐</t>
        </is>
      </c>
    </row>
    <row r="42">
      <c r="A42" s="16" t="n"/>
      <c r="B42" s="16" t="n"/>
      <c r="C42" s="16" t="inlineStr">
        <is>
          <t>☐</t>
        </is>
      </c>
      <c r="D42" s="16" t="inlineStr">
        <is>
          <t>☐</t>
        </is>
      </c>
      <c r="E42" s="16" t="inlineStr">
        <is>
          <t>☐</t>
        </is>
      </c>
      <c r="F42" s="16" t="inlineStr">
        <is>
          <t>☐</t>
        </is>
      </c>
      <c r="G42" s="16" t="inlineStr">
        <is>
          <t>☐</t>
        </is>
      </c>
    </row>
    <row r="43">
      <c r="A43" s="16" t="n"/>
      <c r="B43" s="16" t="n"/>
      <c r="C43" s="16" t="inlineStr">
        <is>
          <t>☐</t>
        </is>
      </c>
      <c r="D43" s="16" t="inlineStr">
        <is>
          <t>☐</t>
        </is>
      </c>
      <c r="E43" s="16" t="inlineStr">
        <is>
          <t>☐</t>
        </is>
      </c>
      <c r="F43" s="16" t="inlineStr">
        <is>
          <t>☐</t>
        </is>
      </c>
      <c r="G43" s="16" t="inlineStr">
        <is>
          <t>☐</t>
        </is>
      </c>
    </row>
    <row r="44">
      <c r="A44" s="16" t="n"/>
      <c r="B44" s="16" t="n"/>
      <c r="C44" s="16" t="inlineStr">
        <is>
          <t>☐</t>
        </is>
      </c>
      <c r="D44" s="16" t="inlineStr">
        <is>
          <t>☐</t>
        </is>
      </c>
      <c r="E44" s="16" t="inlineStr">
        <is>
          <t>☐</t>
        </is>
      </c>
      <c r="F44" s="16" t="inlineStr">
        <is>
          <t>☐</t>
        </is>
      </c>
      <c r="G44" s="16" t="inlineStr">
        <is>
          <t>☐</t>
        </is>
      </c>
    </row>
    <row r="45">
      <c r="A45" s="16" t="n"/>
      <c r="B45" s="16" t="n"/>
      <c r="C45" s="16" t="inlineStr">
        <is>
          <t>☐</t>
        </is>
      </c>
      <c r="D45" s="16" t="inlineStr">
        <is>
          <t>☐</t>
        </is>
      </c>
      <c r="E45" s="16" t="inlineStr">
        <is>
          <t>☐</t>
        </is>
      </c>
      <c r="F45" s="16" t="inlineStr">
        <is>
          <t>☐</t>
        </is>
      </c>
      <c r="G45" s="16" t="inlineStr">
        <is>
          <t>☐</t>
        </is>
      </c>
    </row>
    <row r="46">
      <c r="A46" s="16" t="n"/>
      <c r="B46" s="16" t="n"/>
      <c r="C46" s="16" t="inlineStr">
        <is>
          <t>☐</t>
        </is>
      </c>
      <c r="D46" s="16" t="inlineStr">
        <is>
          <t>☐</t>
        </is>
      </c>
      <c r="E46" s="16" t="inlineStr">
        <is>
          <t>☐</t>
        </is>
      </c>
      <c r="F46" s="16" t="inlineStr">
        <is>
          <t>☐</t>
        </is>
      </c>
      <c r="G46" s="16" t="inlineStr">
        <is>
          <t>☐</t>
        </is>
      </c>
    </row>
    <row r="47">
      <c r="A47" s="16" t="n"/>
      <c r="B47" s="16" t="n"/>
      <c r="C47" s="16" t="inlineStr">
        <is>
          <t>☐</t>
        </is>
      </c>
      <c r="D47" s="16" t="inlineStr">
        <is>
          <t>☐</t>
        </is>
      </c>
      <c r="E47" s="16" t="inlineStr">
        <is>
          <t>☐</t>
        </is>
      </c>
      <c r="F47" s="16" t="inlineStr">
        <is>
          <t>☐</t>
        </is>
      </c>
      <c r="G47" s="16" t="inlineStr">
        <is>
          <t>☐</t>
        </is>
      </c>
    </row>
    <row r="48">
      <c r="A48" s="16" t="n"/>
      <c r="B48" s="16" t="n"/>
      <c r="C48" s="16" t="inlineStr">
        <is>
          <t>☐</t>
        </is>
      </c>
      <c r="D48" s="16" t="inlineStr">
        <is>
          <t>☐</t>
        </is>
      </c>
      <c r="E48" s="16" t="inlineStr">
        <is>
          <t>☐</t>
        </is>
      </c>
      <c r="F48" s="16" t="inlineStr">
        <is>
          <t>☐</t>
        </is>
      </c>
      <c r="G48" s="16" t="inlineStr">
        <is>
          <t>☐</t>
        </is>
      </c>
    </row>
    <row r="49">
      <c r="A49" s="16" t="n"/>
      <c r="B49" s="16" t="n"/>
      <c r="C49" s="16" t="inlineStr">
        <is>
          <t>☐</t>
        </is>
      </c>
      <c r="D49" s="16" t="inlineStr">
        <is>
          <t>☐</t>
        </is>
      </c>
      <c r="E49" s="16" t="inlineStr">
        <is>
          <t>☐</t>
        </is>
      </c>
      <c r="F49" s="16" t="inlineStr">
        <is>
          <t>☐</t>
        </is>
      </c>
      <c r="G49" s="16" t="inlineStr">
        <is>
          <t>☐</t>
        </is>
      </c>
    </row>
    <row r="50">
      <c r="A50" s="16" t="n"/>
      <c r="B50" s="16" t="n"/>
      <c r="C50" s="16" t="inlineStr">
        <is>
          <t>☐</t>
        </is>
      </c>
      <c r="D50" s="16" t="inlineStr">
        <is>
          <t>☐</t>
        </is>
      </c>
      <c r="E50" s="16" t="inlineStr">
        <is>
          <t>☐</t>
        </is>
      </c>
      <c r="F50" s="16" t="inlineStr">
        <is>
          <t>☐</t>
        </is>
      </c>
      <c r="G50" s="16" t="inlineStr">
        <is>
          <t>☐</t>
        </is>
      </c>
    </row>
    <row r="51">
      <c r="A51" s="16" t="n"/>
      <c r="B51" s="16" t="n"/>
      <c r="C51" s="16" t="inlineStr">
        <is>
          <t>☐</t>
        </is>
      </c>
      <c r="D51" s="16" t="inlineStr">
        <is>
          <t>☐</t>
        </is>
      </c>
      <c r="E51" s="16" t="inlineStr">
        <is>
          <t>☐</t>
        </is>
      </c>
      <c r="F51" s="16" t="inlineStr">
        <is>
          <t>☐</t>
        </is>
      </c>
      <c r="G51" s="16" t="inlineStr">
        <is>
          <t>☐</t>
        </is>
      </c>
    </row>
    <row r="52">
      <c r="A52" s="16" t="n"/>
      <c r="B52" s="16" t="n"/>
      <c r="C52" s="16" t="inlineStr">
        <is>
          <t>☐</t>
        </is>
      </c>
      <c r="D52" s="16" t="inlineStr">
        <is>
          <t>☐</t>
        </is>
      </c>
      <c r="E52" s="16" t="inlineStr">
        <is>
          <t>☐</t>
        </is>
      </c>
      <c r="F52" s="16" t="inlineStr">
        <is>
          <t>☐</t>
        </is>
      </c>
      <c r="G52" s="16" t="inlineStr">
        <is>
          <t>☐</t>
        </is>
      </c>
    </row>
    <row r="53">
      <c r="A53" s="16" t="n"/>
      <c r="B53" s="16" t="n"/>
      <c r="C53" s="16" t="inlineStr">
        <is>
          <t>☐</t>
        </is>
      </c>
      <c r="D53" s="16" t="inlineStr">
        <is>
          <t>☐</t>
        </is>
      </c>
      <c r="E53" s="16" t="inlineStr">
        <is>
          <t>☐</t>
        </is>
      </c>
      <c r="F53" s="16" t="inlineStr">
        <is>
          <t>☐</t>
        </is>
      </c>
      <c r="G53" s="16" t="inlineStr">
        <is>
          <t>☐</t>
        </is>
      </c>
    </row>
    <row r="54">
      <c r="A54" s="2" t="inlineStr">
        <is>
          <t>☐ = Not sent | ☑ = Sent | Enter reply date in column G</t>
        </is>
      </c>
    </row>
  </sheetData>
  <mergeCells count="1">
    <mergeCell ref="A1:G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8b5cf6"/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5" t="inlineStr">
        <is>
          <t>Weekly Performance Tracker</t>
        </is>
      </c>
    </row>
    <row r="2">
      <c r="A2" s="2" t="inlineStr">
        <is>
          <t>Track weekly against targets from the CRM Pipeline Setup Guide</t>
        </is>
      </c>
    </row>
    <row r="4">
      <c r="A4" s="3" t="inlineStr">
        <is>
          <t>Week Starting</t>
        </is>
      </c>
      <c r="B4" s="3" t="inlineStr">
        <is>
          <t>New Prospects Added</t>
        </is>
      </c>
      <c r="C4" s="3" t="inlineStr">
        <is>
          <t>Emails Sent</t>
        </is>
      </c>
      <c r="D4" s="3" t="inlineStr">
        <is>
          <t>Replies Received</t>
        </is>
      </c>
      <c r="E4" s="3" t="inlineStr">
        <is>
          <t>Discovery Calls Booked</t>
        </is>
      </c>
    </row>
    <row r="5">
      <c r="A5" s="16" t="n"/>
      <c r="B5" s="16" t="n"/>
      <c r="C5" s="16" t="n"/>
      <c r="D5" s="16" t="n"/>
      <c r="E5" s="16" t="n"/>
    </row>
    <row r="6">
      <c r="A6" s="16" t="n"/>
      <c r="B6" s="16" t="n"/>
      <c r="C6" s="16" t="n"/>
      <c r="D6" s="16" t="n"/>
      <c r="E6" s="16" t="n"/>
    </row>
    <row r="7">
      <c r="A7" s="16" t="n"/>
      <c r="B7" s="16" t="n"/>
      <c r="C7" s="16" t="n"/>
      <c r="D7" s="16" t="n"/>
      <c r="E7" s="16" t="n"/>
    </row>
    <row r="8">
      <c r="A8" s="16" t="n"/>
      <c r="B8" s="16" t="n"/>
      <c r="C8" s="16" t="n"/>
      <c r="D8" s="16" t="n"/>
      <c r="E8" s="16" t="n"/>
    </row>
    <row r="9">
      <c r="A9" s="16" t="n"/>
      <c r="B9" s="16" t="n"/>
      <c r="C9" s="16" t="n"/>
      <c r="D9" s="16" t="n"/>
      <c r="E9" s="16" t="n"/>
    </row>
    <row r="10">
      <c r="A10" s="16" t="n"/>
      <c r="B10" s="16" t="n"/>
      <c r="C10" s="16" t="n"/>
      <c r="D10" s="16" t="n"/>
      <c r="E10" s="16" t="n"/>
    </row>
    <row r="11">
      <c r="A11" s="16" t="n"/>
      <c r="B11" s="16" t="n"/>
      <c r="C11" s="16" t="n"/>
      <c r="D11" s="16" t="n"/>
      <c r="E11" s="16" t="n"/>
    </row>
    <row r="12">
      <c r="A12" s="16" t="n"/>
      <c r="B12" s="16" t="n"/>
      <c r="C12" s="16" t="n"/>
      <c r="D12" s="16" t="n"/>
      <c r="E12" s="16" t="n"/>
    </row>
    <row r="13">
      <c r="A13" s="16" t="n"/>
      <c r="B13" s="16" t="n"/>
      <c r="C13" s="16" t="n"/>
      <c r="D13" s="16" t="n"/>
      <c r="E13" s="16" t="n"/>
    </row>
    <row r="14">
      <c r="A14" s="16" t="n"/>
      <c r="B14" s="16" t="n"/>
      <c r="C14" s="16" t="n"/>
      <c r="D14" s="16" t="n"/>
      <c r="E14" s="16" t="n"/>
    </row>
    <row r="15">
      <c r="A15" s="16" t="n"/>
      <c r="B15" s="16" t="n"/>
      <c r="C15" s="16" t="n"/>
      <c r="D15" s="16" t="n"/>
      <c r="E15" s="16" t="n"/>
    </row>
    <row r="16">
      <c r="A16" s="16" t="n"/>
      <c r="B16" s="16" t="n"/>
      <c r="C16" s="16" t="n"/>
      <c r="D16" s="16" t="n"/>
      <c r="E16" s="16" t="n"/>
    </row>
    <row r="17">
      <c r="A17" s="16" t="n"/>
      <c r="B17" s="16" t="n"/>
      <c r="C17" s="16" t="n"/>
      <c r="D17" s="16" t="n"/>
      <c r="E17" s="16" t="n"/>
    </row>
    <row r="18">
      <c r="A18" s="16" t="n"/>
      <c r="B18" s="16" t="n"/>
      <c r="C18" s="16" t="n"/>
      <c r="D18" s="16" t="n"/>
      <c r="E18" s="16" t="n"/>
    </row>
    <row r="19">
      <c r="A19" s="16" t="n"/>
      <c r="B19" s="16" t="n"/>
      <c r="C19" s="16" t="n"/>
      <c r="D19" s="16" t="n"/>
      <c r="E19" s="16" t="n"/>
    </row>
    <row r="20">
      <c r="A20" s="16" t="n"/>
      <c r="B20" s="16" t="n"/>
      <c r="C20" s="16" t="n"/>
      <c r="D20" s="16" t="n"/>
      <c r="E20" s="16" t="n"/>
    </row>
    <row r="21">
      <c r="A21" s="16" t="n"/>
      <c r="B21" s="16" t="n"/>
      <c r="C21" s="16" t="n"/>
      <c r="D21" s="16" t="n"/>
      <c r="E21" s="16" t="n"/>
    </row>
    <row r="22">
      <c r="A22" s="16" t="n"/>
      <c r="B22" s="16" t="n"/>
      <c r="C22" s="16" t="n"/>
      <c r="D22" s="16" t="n"/>
      <c r="E22" s="16" t="n"/>
    </row>
    <row r="23">
      <c r="A23" s="16" t="n"/>
      <c r="B23" s="16" t="n"/>
      <c r="C23" s="16" t="n"/>
      <c r="D23" s="16" t="n"/>
      <c r="E23" s="16" t="n"/>
    </row>
    <row r="24">
      <c r="A24" s="16" t="n"/>
      <c r="B24" s="16" t="n"/>
      <c r="C24" s="16" t="n"/>
      <c r="D24" s="16" t="n"/>
      <c r="E24" s="16" t="n"/>
    </row>
    <row r="26">
      <c r="A26" s="25" t="inlineStr">
        <is>
          <t>TARGET</t>
        </is>
      </c>
      <c r="B26" s="29" t="inlineStr"/>
      <c r="C26" s="29" t="n">
        <v>50</v>
      </c>
      <c r="D26" s="29" t="n">
        <v>200</v>
      </c>
      <c r="E26" s="29" t="n">
        <v>5</v>
      </c>
      <c r="F26" s="29" t="n">
        <v>2</v>
      </c>
    </row>
    <row r="27">
      <c r="A27" s="25" t="inlineStr">
        <is>
          <t>AVERAGE</t>
        </is>
      </c>
      <c r="B27" s="30">
        <f>AVERAGE(B5:B24)</f>
        <v/>
      </c>
      <c r="C27" s="30">
        <f>AVERAGE(C5:C24)</f>
        <v/>
      </c>
      <c r="D27" s="30">
        <f>AVERAGE(D5:D24)</f>
        <v/>
      </c>
      <c r="E27" s="30">
        <f>AVERAGE(E5:E24)</f>
        <v/>
      </c>
    </row>
  </sheetData>
  <mergeCells count="2">
    <mergeCell ref="A2:E2"/>
    <mergeCell ref="A1:E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22c55e"/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</cols>
  <sheetData>
    <row r="1" ht="36" customHeight="1">
      <c r="A1" s="5" t="inlineStr">
        <is>
          <t>Monthly Revenue Tracking</t>
        </is>
      </c>
    </row>
    <row r="3">
      <c r="A3" s="3" t="inlineStr">
        <is>
          <t>Month</t>
        </is>
      </c>
      <c r="B3" s="3" t="inlineStr">
        <is>
          <t>New Clients</t>
        </is>
      </c>
      <c r="C3" s="3" t="inlineStr">
        <is>
          <t>Revenue ($)</t>
        </is>
      </c>
    </row>
    <row r="4">
      <c r="A4" s="16" t="inlineStr">
        <is>
          <t>Jan</t>
        </is>
      </c>
      <c r="B4" s="16" t="n">
        <v>0</v>
      </c>
      <c r="C4" s="17" t="n">
        <v>0</v>
      </c>
    </row>
    <row r="5">
      <c r="A5" s="16" t="inlineStr">
        <is>
          <t>Feb</t>
        </is>
      </c>
      <c r="B5" s="16" t="n">
        <v>0</v>
      </c>
      <c r="C5" s="17" t="n">
        <v>0</v>
      </c>
    </row>
    <row r="6">
      <c r="A6" s="16" t="inlineStr">
        <is>
          <t>Mar</t>
        </is>
      </c>
      <c r="B6" s="16" t="n">
        <v>0</v>
      </c>
      <c r="C6" s="17" t="n">
        <v>0</v>
      </c>
    </row>
    <row r="7">
      <c r="A7" s="16" t="inlineStr">
        <is>
          <t>Apr</t>
        </is>
      </c>
      <c r="B7" s="16" t="n">
        <v>0</v>
      </c>
      <c r="C7" s="17" t="n">
        <v>0</v>
      </c>
    </row>
    <row r="8">
      <c r="A8" s="16" t="inlineStr">
        <is>
          <t>May</t>
        </is>
      </c>
      <c r="B8" s="16" t="n">
        <v>0</v>
      </c>
      <c r="C8" s="17" t="n">
        <v>0</v>
      </c>
    </row>
    <row r="9">
      <c r="A9" s="16" t="inlineStr">
        <is>
          <t>Jun</t>
        </is>
      </c>
      <c r="B9" s="16" t="n">
        <v>0</v>
      </c>
      <c r="C9" s="17" t="n">
        <v>0</v>
      </c>
    </row>
    <row r="10">
      <c r="A10" s="16" t="inlineStr">
        <is>
          <t>Jul</t>
        </is>
      </c>
      <c r="B10" s="16" t="n">
        <v>0</v>
      </c>
      <c r="C10" s="17" t="n">
        <v>0</v>
      </c>
    </row>
    <row r="11">
      <c r="A11" s="16" t="inlineStr">
        <is>
          <t>Aug</t>
        </is>
      </c>
      <c r="B11" s="16" t="n">
        <v>0</v>
      </c>
      <c r="C11" s="17" t="n">
        <v>0</v>
      </c>
    </row>
    <row r="12">
      <c r="A12" s="16" t="inlineStr">
        <is>
          <t>Sep</t>
        </is>
      </c>
      <c r="B12" s="16" t="n">
        <v>0</v>
      </c>
      <c r="C12" s="17" t="n">
        <v>0</v>
      </c>
    </row>
    <row r="13">
      <c r="A13" s="16" t="inlineStr">
        <is>
          <t>Oct</t>
        </is>
      </c>
      <c r="B13" s="16" t="n">
        <v>0</v>
      </c>
      <c r="C13" s="17" t="n">
        <v>0</v>
      </c>
    </row>
    <row r="14">
      <c r="A14" s="16" t="inlineStr">
        <is>
          <t>Nov</t>
        </is>
      </c>
      <c r="B14" s="16" t="n">
        <v>0</v>
      </c>
      <c r="C14" s="17" t="n">
        <v>0</v>
      </c>
    </row>
    <row r="15">
      <c r="A15" s="16" t="inlineStr">
        <is>
          <t>Dec</t>
        </is>
      </c>
      <c r="B15" s="16" t="n">
        <v>0</v>
      </c>
      <c r="C15" s="17" t="n">
        <v>0</v>
      </c>
    </row>
    <row r="16">
      <c r="A16" s="26" t="inlineStr">
        <is>
          <t>TOTAL</t>
        </is>
      </c>
      <c r="B16" s="26">
        <f>SUM(B4:B15)</f>
        <v/>
      </c>
      <c r="C16" s="27">
        <f>SUM(C4:C15)</f>
        <v/>
      </c>
    </row>
  </sheetData>
  <mergeCells count="1">
    <mergeCell ref="A1:C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2026-07-18T16:15:22Z</dcterms:created>
  <dcterms:modified xmlns:dcterms="http://purl.org/dc/terms/" xmlns:xsi="http://www.w3.org/2001/XMLSchema-instance" xsi:type="dcterms:W3CDTF">2026-07-18T16:15:22Z</dcterms:modified>
</cp:coreProperties>
</file>